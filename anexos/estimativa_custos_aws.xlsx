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Estimativa de Cus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<sst xmlns="http://schemas.openxmlformats.org/spreadsheetml/2006/main" count="117" uniqueCount="94">
  <si>
    <t xml:space="preserve">Premissas para Estimativa de Custos — AWS Pricing Calculator</t>
  </si>
  <si>
    <t xml:space="preserve">Valores estimados para dimensionamento inicial. Validar preços atualizados na calculadora oficial (calculator.aws) antes de aprovação orçamentária.</t>
  </si>
  <si>
    <t xml:space="preserve">Parâmetro</t>
  </si>
  <si>
    <t xml:space="preserve">Valor</t>
  </si>
  <si>
    <t xml:space="preserve">Unidade</t>
  </si>
  <si>
    <t xml:space="preserve">Observações</t>
  </si>
  <si>
    <t xml:space="preserve">Região</t>
  </si>
  <si>
    <t xml:space="preserve">sa-east-1 (São Paulo)</t>
  </si>
  <si>
    <t xml:space="preserve">-</t>
  </si>
  <si>
    <t xml:space="preserve">Região mais próxima para operação da Abstergo Industries</t>
  </si>
  <si>
    <t xml:space="preserve">EC2 — Tipo de instância</t>
  </si>
  <si>
    <t xml:space="preserve">t3.medium</t>
  </si>
  <si>
    <t xml:space="preserve">Uso geral; equilíbrio de CPU/memória (Etapa 1 do material AWS)</t>
  </si>
  <si>
    <t xml:space="preserve">EC2 — Preço on-demand</t>
  </si>
  <si>
    <t xml:space="preserve">USD/hora</t>
  </si>
  <si>
    <t xml:space="preserve">Estimativa sa-east-1; validar no AWS Pricing Calculator</t>
  </si>
  <si>
    <t xml:space="preserve">EC2 — Capacidade mínima (Auto Scaling)</t>
  </si>
  <si>
    <t xml:space="preserve">instâncias</t>
  </si>
  <si>
    <t xml:space="preserve">Piso do Auto Scaling Group</t>
  </si>
  <si>
    <t xml:space="preserve">EC2 — Capacidade desejada (média)</t>
  </si>
  <si>
    <t xml:space="preserve">Capacidade média considerada para a estimativa mensal</t>
  </si>
  <si>
    <t xml:space="preserve">EC2 — Capacidade máxima (pico)</t>
  </si>
  <si>
    <t xml:space="preserve">Teto do Auto Scaling Group, usado no cenário comparativo</t>
  </si>
  <si>
    <t xml:space="preserve">EC2 — Horas de operação</t>
  </si>
  <si>
    <t xml:space="preserve">horas/mês</t>
  </si>
  <si>
    <t xml:space="preserve">Média de horas em um mês (365/12 x 24)</t>
  </si>
  <si>
    <t xml:space="preserve">Lambda — Preço por requisição</t>
  </si>
  <si>
    <t xml:space="preserve">USD/requisição</t>
  </si>
  <si>
    <t xml:space="preserve">US$0,20 por 1 milhão de requisições, após camada gratuita</t>
  </si>
  <si>
    <t xml:space="preserve">Lambda — Preço por GB-segundo</t>
  </si>
  <si>
    <t xml:space="preserve">USD/GB-s</t>
  </si>
  <si>
    <t xml:space="preserve">Cobrança por duração de execução</t>
  </si>
  <si>
    <t xml:space="preserve">Lambda — Invocações estimadas</t>
  </si>
  <si>
    <t xml:space="preserve">requisições/mês</t>
  </si>
  <si>
    <t xml:space="preserve">Validações de laudos, relatórios e integrações</t>
  </si>
  <si>
    <t xml:space="preserve">Lambda — Duração média por execução</t>
  </si>
  <si>
    <t xml:space="preserve">ms</t>
  </si>
  <si>
    <t xml:space="preserve">Estimativa para funções de processamento leve</t>
  </si>
  <si>
    <t xml:space="preserve">Lambda — Memória alocada</t>
  </si>
  <si>
    <t xml:space="preserve">MB</t>
  </si>
  <si>
    <t xml:space="preserve">Configuração média das funções</t>
  </si>
  <si>
    <t xml:space="preserve">S3 Standard — Volume armazenado</t>
  </si>
  <si>
    <t xml:space="preserve">GB</t>
  </si>
  <si>
    <t xml:space="preserve">Dados acessados com frequência (últimos meses)</t>
  </si>
  <si>
    <t xml:space="preserve">S3 Standard — Preço de armazenamento</t>
  </si>
  <si>
    <t xml:space="preserve">USD/GB/mês</t>
  </si>
  <si>
    <t xml:space="preserve">Estimativa sa-east-1, primeiros 50 TB</t>
  </si>
  <si>
    <t xml:space="preserve">S3 Intelligent-Tiering/Glacier — Volume armazenado</t>
  </si>
  <si>
    <t xml:space="preserve">Dados históricos/compliance movidos pelo ciclo de vida</t>
  </si>
  <si>
    <t xml:space="preserve">S3 Intelligent-Tiering/Glacier — Preço de armazenamento</t>
  </si>
  <si>
    <t xml:space="preserve">Camada de acesso infrequente (estimativa)</t>
  </si>
  <si>
    <t xml:space="preserve">S3 — Requisições PUT/COPY/POST/LIST estimadas</t>
  </si>
  <si>
    <t xml:space="preserve">Escritas e listagens</t>
  </si>
  <si>
    <t xml:space="preserve">S3 — Preço requisições PUT/COPY/POST/LIST</t>
  </si>
  <si>
    <t xml:space="preserve">USD por 1.000 req.</t>
  </si>
  <si>
    <t xml:space="preserve">S3 — Requisições GET/SELECT estimadas</t>
  </si>
  <si>
    <t xml:space="preserve">Leituras</t>
  </si>
  <si>
    <t xml:space="preserve">S3 — Preço requisições GET/SELECT</t>
  </si>
  <si>
    <t xml:space="preserve">Legenda: células em amarelo/azul = premissas editáveis (ajustar conforme dimensionamento real).</t>
  </si>
  <si>
    <t xml:space="preserve">Estimativa de Custos Mensais — Arquitetura Proposta</t>
  </si>
  <si>
    <t xml:space="preserve">Empresa: Abstergo Industries — baseado nas premissas da aba 'Premissas'</t>
  </si>
  <si>
    <t xml:space="preserve">Etapa</t>
  </si>
  <si>
    <t xml:space="preserve">Serviço AWS</t>
  </si>
  <si>
    <t xml:space="preserve">Componente de custo</t>
  </si>
  <si>
    <t xml:space="preserve">Custo mensal estimado (USD)</t>
  </si>
  <si>
    <t xml:space="preserve">Etapa 1</t>
  </si>
  <si>
    <t xml:space="preserve">Amazon EC2 Auto Scaling</t>
  </si>
  <si>
    <t xml:space="preserve">Instâncias t3.medium (capacidade média)</t>
  </si>
  <si>
    <t xml:space="preserve">Escala entre mínimo e máximo conforme demanda</t>
  </si>
  <si>
    <t xml:space="preserve">Etapa 2</t>
  </si>
  <si>
    <t xml:space="preserve">AWS Lambda</t>
  </si>
  <si>
    <t xml:space="preserve">Requisições</t>
  </si>
  <si>
    <t xml:space="preserve">Cobrança apenas por invocação</t>
  </si>
  <si>
    <t xml:space="preserve">Duração de execução (GB-s)</t>
  </si>
  <si>
    <t xml:space="preserve">Cobrança por tempo de computação usado</t>
  </si>
  <si>
    <t xml:space="preserve">Etapa 3</t>
  </si>
  <si>
    <t xml:space="preserve">Amazon S3</t>
  </si>
  <si>
    <t xml:space="preserve">Armazenamento Standard</t>
  </si>
  <si>
    <t xml:space="preserve">Dados de acesso frequente</t>
  </si>
  <si>
    <t xml:space="preserve">Armazenamento Intelligent-Tiering/Glacier</t>
  </si>
  <si>
    <t xml:space="preserve">Dados movidos pela política de ciclo de vida</t>
  </si>
  <si>
    <t xml:space="preserve">Requisições PUT/COPY/POST/LIST</t>
  </si>
  <si>
    <t xml:space="preserve">Requisições GET/SELECT</t>
  </si>
  <si>
    <t xml:space="preserve">Total mensal estimado — arquitetura proposta</t>
  </si>
  <si>
    <t xml:space="preserve">Comparativo: arquitetura proposta x infraestrutura sem otimização</t>
  </si>
  <si>
    <t xml:space="preserve">Cenário</t>
  </si>
  <si>
    <t xml:space="preserve">Descrição</t>
  </si>
  <si>
    <t xml:space="preserve">Arquitetura proposta</t>
  </si>
  <si>
    <t xml:space="preserve">EC2 Auto Scaling + Lambda + S3 com ciclo de vida</t>
  </si>
  <si>
    <t xml:space="preserve">Total calculado acima</t>
  </si>
  <si>
    <t xml:space="preserve">Infraestrutura sem otimização</t>
  </si>
  <si>
    <t xml:space="preserve">EC2 fixo na capacidade máxima 24/7 + S3 100% Standard (sem Lambda/tiering)</t>
  </si>
  <si>
    <t xml:space="preserve">Economia estimada</t>
  </si>
  <si>
    <t xml:space="preserve">Observação: valores ilustrativos para orientar a decisão de arquitetura; recomenda-se validar com o AWS Pricing Calculator oficial e dados reais de uso antes da aprovação orçamentária.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</si>
</sst>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0000"/>
    <numFmt numFmtId="167" formatCode="\$#,##0.00;&quot;($&quot;#,##0.0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F3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32F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 t="s">
        <v>8</v>
      </c>
      <c r="D5" s="6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8</v>
      </c>
      <c r="D6" s="6" t="s">
        <v>12</v>
      </c>
    </row>
    <row r="7" customFormat="false" ht="15" hidden="false" customHeight="false" outlineLevel="0" collapsed="false">
      <c r="A7" s="4" t="s">
        <v>13</v>
      </c>
      <c r="B7" s="7" t="n">
        <v>0.0752</v>
      </c>
      <c r="C7" s="4" t="s">
        <v>14</v>
      </c>
      <c r="D7" s="6" t="s">
        <v>15</v>
      </c>
    </row>
    <row r="8" customFormat="false" ht="15" hidden="false" customHeight="false" outlineLevel="0" collapsed="false">
      <c r="A8" s="4" t="s">
        <v>16</v>
      </c>
      <c r="B8" s="5" t="n">
        <v>2</v>
      </c>
      <c r="C8" s="4" t="s">
        <v>17</v>
      </c>
      <c r="D8" s="6" t="s">
        <v>18</v>
      </c>
    </row>
    <row r="9" customFormat="false" ht="15" hidden="false" customHeight="false" outlineLevel="0" collapsed="false">
      <c r="A9" s="4" t="s">
        <v>19</v>
      </c>
      <c r="B9" s="5" t="n">
        <v>4</v>
      </c>
      <c r="C9" s="4" t="s">
        <v>17</v>
      </c>
      <c r="D9" s="6" t="s">
        <v>20</v>
      </c>
    </row>
    <row r="10" customFormat="false" ht="15" hidden="false" customHeight="false" outlineLevel="0" collapsed="false">
      <c r="A10" s="4" t="s">
        <v>21</v>
      </c>
      <c r="B10" s="5" t="n">
        <v>8</v>
      </c>
      <c r="C10" s="4" t="s">
        <v>17</v>
      </c>
      <c r="D10" s="6" t="s">
        <v>22</v>
      </c>
    </row>
    <row r="11" customFormat="false" ht="15" hidden="false" customHeight="false" outlineLevel="0" collapsed="false">
      <c r="A11" s="4" t="s">
        <v>23</v>
      </c>
      <c r="B11" s="5" t="n">
        <v>730</v>
      </c>
      <c r="C11" s="4" t="s">
        <v>24</v>
      </c>
      <c r="D11" s="6" t="s">
        <v>25</v>
      </c>
    </row>
    <row r="12" customFormat="false" ht="15" hidden="false" customHeight="false" outlineLevel="0" collapsed="false">
      <c r="A12" s="4" t="s">
        <v>26</v>
      </c>
      <c r="B12" s="8" t="n">
        <v>2E-007</v>
      </c>
      <c r="C12" s="4" t="s">
        <v>27</v>
      </c>
      <c r="D12" s="6" t="s">
        <v>28</v>
      </c>
    </row>
    <row r="13" customFormat="false" ht="15" hidden="false" customHeight="false" outlineLevel="0" collapsed="false">
      <c r="A13" s="4" t="s">
        <v>29</v>
      </c>
      <c r="B13" s="8" t="n">
        <v>1.66667E-005</v>
      </c>
      <c r="C13" s="4" t="s">
        <v>30</v>
      </c>
      <c r="D13" s="6" t="s">
        <v>31</v>
      </c>
    </row>
    <row r="14" customFormat="false" ht="15" hidden="false" customHeight="false" outlineLevel="0" collapsed="false">
      <c r="A14" s="4" t="s">
        <v>32</v>
      </c>
      <c r="B14" s="5" t="n">
        <v>2000000</v>
      </c>
      <c r="C14" s="4" t="s">
        <v>33</v>
      </c>
      <c r="D14" s="6" t="s">
        <v>34</v>
      </c>
    </row>
    <row r="15" customFormat="false" ht="15" hidden="false" customHeight="false" outlineLevel="0" collapsed="false">
      <c r="A15" s="4" t="s">
        <v>35</v>
      </c>
      <c r="B15" s="5" t="n">
        <v>300</v>
      </c>
      <c r="C15" s="4" t="s">
        <v>36</v>
      </c>
      <c r="D15" s="6" t="s">
        <v>37</v>
      </c>
    </row>
    <row r="16" customFormat="false" ht="15" hidden="false" customHeight="false" outlineLevel="0" collapsed="false">
      <c r="A16" s="4" t="s">
        <v>38</v>
      </c>
      <c r="B16" s="5" t="n">
        <v>512</v>
      </c>
      <c r="C16" s="4" t="s">
        <v>39</v>
      </c>
      <c r="D16" s="6" t="s">
        <v>40</v>
      </c>
    </row>
    <row r="17" customFormat="false" ht="15" hidden="false" customHeight="false" outlineLevel="0" collapsed="false">
      <c r="A17" s="4" t="s">
        <v>41</v>
      </c>
      <c r="B17" s="5" t="n">
        <v>500</v>
      </c>
      <c r="C17" s="4" t="s">
        <v>42</v>
      </c>
      <c r="D17" s="6" t="s">
        <v>43</v>
      </c>
    </row>
    <row r="18" customFormat="false" ht="15" hidden="false" customHeight="false" outlineLevel="0" collapsed="false">
      <c r="A18" s="4" t="s">
        <v>44</v>
      </c>
      <c r="B18" s="7" t="n">
        <v>0.0405</v>
      </c>
      <c r="C18" s="4" t="s">
        <v>45</v>
      </c>
      <c r="D18" s="6" t="s">
        <v>46</v>
      </c>
    </row>
    <row r="19" customFormat="false" ht="15" hidden="false" customHeight="false" outlineLevel="0" collapsed="false">
      <c r="A19" s="4" t="s">
        <v>47</v>
      </c>
      <c r="B19" s="5" t="n">
        <v>2000</v>
      </c>
      <c r="C19" s="4" t="s">
        <v>42</v>
      </c>
      <c r="D19" s="6" t="s">
        <v>48</v>
      </c>
    </row>
    <row r="20" customFormat="false" ht="15" hidden="false" customHeight="false" outlineLevel="0" collapsed="false">
      <c r="A20" s="4" t="s">
        <v>49</v>
      </c>
      <c r="B20" s="7" t="n">
        <v>0.0125</v>
      </c>
      <c r="C20" s="4" t="s">
        <v>45</v>
      </c>
      <c r="D20" s="6" t="s">
        <v>50</v>
      </c>
    </row>
    <row r="21" customFormat="false" ht="15" hidden="false" customHeight="false" outlineLevel="0" collapsed="false">
      <c r="A21" s="4" t="s">
        <v>51</v>
      </c>
      <c r="B21" s="5" t="n">
        <v>200000</v>
      </c>
      <c r="C21" s="4" t="s">
        <v>33</v>
      </c>
      <c r="D21" s="6" t="s">
        <v>52</v>
      </c>
    </row>
    <row r="22" customFormat="false" ht="15" hidden="false" customHeight="false" outlineLevel="0" collapsed="false">
      <c r="A22" s="4" t="s">
        <v>53</v>
      </c>
      <c r="B22" s="7" t="n">
        <v>0.0055</v>
      </c>
      <c r="C22" s="4" t="s">
        <v>54</v>
      </c>
      <c r="D22" s="6" t="s">
        <v>8</v>
      </c>
    </row>
    <row r="23" customFormat="false" ht="15" hidden="false" customHeight="false" outlineLevel="0" collapsed="false">
      <c r="A23" s="4" t="s">
        <v>55</v>
      </c>
      <c r="B23" s="5" t="n">
        <v>1000000</v>
      </c>
      <c r="C23" s="4" t="s">
        <v>33</v>
      </c>
      <c r="D23" s="6" t="s">
        <v>56</v>
      </c>
    </row>
    <row r="24" customFormat="false" ht="15" hidden="false" customHeight="false" outlineLevel="0" collapsed="false">
      <c r="A24" s="4" t="s">
        <v>57</v>
      </c>
      <c r="B24" s="8" t="n">
        <v>0.00044</v>
      </c>
      <c r="C24" s="4" t="s">
        <v>54</v>
      </c>
      <c r="D24" s="6" t="s">
        <v>8</v>
      </c>
    </row>
    <row r="27" customFormat="false" ht="15" hidden="false" customHeight="false" outlineLevel="0" collapsed="false">
      <c r="A27" s="9" t="s">
        <v>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59</v>
      </c>
      <c r="B1" s="1"/>
      <c r="C1" s="1"/>
      <c r="D1" s="1"/>
      <c r="E1" s="1"/>
    </row>
    <row r="2" customFormat="false" ht="15" hidden="false" customHeight="false" outlineLevel="0" collapsed="false">
      <c r="A2" s="10" t="s">
        <v>60</v>
      </c>
      <c r="B2" s="10"/>
      <c r="C2" s="10"/>
      <c r="D2" s="10"/>
      <c r="E2" s="10"/>
    </row>
    <row r="4" customFormat="false" ht="26.85" hidden="false" customHeight="false" outlineLevel="0" collapsed="false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5</v>
      </c>
    </row>
    <row r="5" customFormat="false" ht="15" hidden="false" customHeight="false" outlineLevel="0" collapsed="false">
      <c r="A5" s="4" t="s">
        <v>65</v>
      </c>
      <c r="B5" s="4" t="s">
        <v>66</v>
      </c>
      <c r="C5" s="4" t="s">
        <v>67</v>
      </c>
      <c r="D5" s="12" t="n">
        <f aca="false">Premissas!$B$7*Premissas!$B$9*Premissas!$B$11</f>
        <v>219.584</v>
      </c>
      <c r="E5" s="6" t="s">
        <v>68</v>
      </c>
    </row>
    <row r="6" customFormat="false" ht="15" hidden="false" customHeight="false" outlineLevel="0" collapsed="false">
      <c r="A6" s="4" t="s">
        <v>69</v>
      </c>
      <c r="B6" s="4" t="s">
        <v>70</v>
      </c>
      <c r="C6" s="4" t="s">
        <v>71</v>
      </c>
      <c r="D6" s="12" t="n">
        <f aca="false">Premissas!$B$12*Premissas!$B$14</f>
        <v>0.4</v>
      </c>
      <c r="E6" s="6" t="s">
        <v>72</v>
      </c>
    </row>
    <row r="7" customFormat="false" ht="15" hidden="false" customHeight="false" outlineLevel="0" collapsed="false">
      <c r="A7" s="4" t="s">
        <v>69</v>
      </c>
      <c r="B7" s="4" t="s">
        <v>70</v>
      </c>
      <c r="C7" s="4" t="s">
        <v>73</v>
      </c>
      <c r="D7" s="12" t="n">
        <f aca="false">Premissas!$B$13*Premissas!$B$14*(Premissas!$B$15/1000)*(Premissas!$B$16/1024)</f>
        <v>5.00001</v>
      </c>
      <c r="E7" s="6" t="s">
        <v>74</v>
      </c>
    </row>
    <row r="8" customFormat="false" ht="15" hidden="false" customHeight="false" outlineLevel="0" collapsed="false">
      <c r="A8" s="4" t="s">
        <v>75</v>
      </c>
      <c r="B8" s="4" t="s">
        <v>76</v>
      </c>
      <c r="C8" s="4" t="s">
        <v>77</v>
      </c>
      <c r="D8" s="12" t="n">
        <f aca="false">Premissas!$B$17*Premissas!$B$18</f>
        <v>20.25</v>
      </c>
      <c r="E8" s="6" t="s">
        <v>78</v>
      </c>
    </row>
    <row r="9" customFormat="false" ht="15" hidden="false" customHeight="false" outlineLevel="0" collapsed="false">
      <c r="A9" s="4" t="s">
        <v>75</v>
      </c>
      <c r="B9" s="4" t="s">
        <v>76</v>
      </c>
      <c r="C9" s="4" t="s">
        <v>79</v>
      </c>
      <c r="D9" s="12" t="n">
        <f aca="false">Premissas!$B$19*Premissas!$B$20</f>
        <v>25</v>
      </c>
      <c r="E9" s="6" t="s">
        <v>80</v>
      </c>
    </row>
    <row r="10" customFormat="false" ht="15" hidden="false" customHeight="false" outlineLevel="0" collapsed="false">
      <c r="A10" s="4" t="s">
        <v>75</v>
      </c>
      <c r="B10" s="4" t="s">
        <v>76</v>
      </c>
      <c r="C10" s="4" t="s">
        <v>81</v>
      </c>
      <c r="D10" s="12" t="n">
        <f aca="false">(Premissas!$B$21/1000)*Premissas!$B$22</f>
        <v>1.1</v>
      </c>
      <c r="E10" s="6" t="s">
        <v>8</v>
      </c>
    </row>
    <row r="11" customFormat="false" ht="15" hidden="false" customHeight="false" outlineLevel="0" collapsed="false">
      <c r="A11" s="4" t="s">
        <v>75</v>
      </c>
      <c r="B11" s="4" t="s">
        <v>76</v>
      </c>
      <c r="C11" s="4" t="s">
        <v>82</v>
      </c>
      <c r="D11" s="12" t="n">
        <f aca="false">(Premissas!$B$23/1000)*Premissas!$B$24</f>
        <v>0.44</v>
      </c>
      <c r="E11" s="6" t="s">
        <v>8</v>
      </c>
    </row>
    <row r="12" customFormat="false" ht="15" hidden="false" customHeight="false" outlineLevel="0" collapsed="false">
      <c r="A12" s="13"/>
      <c r="B12" s="13"/>
      <c r="C12" s="14" t="s">
        <v>83</v>
      </c>
      <c r="D12" s="15" t="n">
        <f aca="false">SUM(D5:D11)</f>
        <v>271.77401</v>
      </c>
      <c r="E12" s="13"/>
    </row>
    <row r="15" customFormat="false" ht="15" hidden="false" customHeight="false" outlineLevel="0" collapsed="false">
      <c r="A15" s="16" t="s">
        <v>84</v>
      </c>
      <c r="B15" s="16"/>
      <c r="C15" s="16"/>
      <c r="D15" s="16"/>
      <c r="E15" s="16"/>
    </row>
    <row r="16" customFormat="false" ht="26.85" hidden="false" customHeight="false" outlineLevel="0" collapsed="false">
      <c r="A16" s="11" t="s">
        <v>85</v>
      </c>
      <c r="B16" s="11" t="s">
        <v>86</v>
      </c>
      <c r="D16" s="11" t="s">
        <v>64</v>
      </c>
      <c r="E16" s="11" t="s">
        <v>5</v>
      </c>
    </row>
    <row r="17" customFormat="false" ht="15" hidden="false" customHeight="false" outlineLevel="0" collapsed="false">
      <c r="A17" s="4" t="s">
        <v>87</v>
      </c>
      <c r="B17" s="4" t="s">
        <v>88</v>
      </c>
      <c r="C17" s="13"/>
      <c r="D17" s="12" t="n">
        <f aca="false">D12</f>
        <v>271.77401</v>
      </c>
      <c r="E17" s="6" t="s">
        <v>89</v>
      </c>
    </row>
    <row r="18" customFormat="false" ht="15" hidden="false" customHeight="false" outlineLevel="0" collapsed="false">
      <c r="A18" s="4" t="s">
        <v>90</v>
      </c>
      <c r="B18" s="4" t="s">
        <v>91</v>
      </c>
      <c r="C18" s="13"/>
      <c r="D18" s="12" t="n">
        <f aca="false">(Premissas!$B$7*Premissas!$B$10*Premissas!$B$11)+((Premissas!$B$17+Premissas!$B$19)*Premissas!$B$18)+(D6+D7)</f>
        <v>545.81801</v>
      </c>
      <c r="E18" s="13"/>
    </row>
    <row r="19" customFormat="false" ht="15" hidden="false" customHeight="false" outlineLevel="0" collapsed="false">
      <c r="A19" s="14" t="s">
        <v>92</v>
      </c>
      <c r="B19" s="13"/>
      <c r="C19" s="13"/>
      <c r="D19" s="15" t="n">
        <f aca="false">D18-D17</f>
        <v>274.044</v>
      </c>
      <c r="E19" s="17" t="n">
        <f aca="false">IFERROR(D19/D18,0)</f>
        <v>0.502079438529337</v>
      </c>
    </row>
    <row r="21" customFormat="false" ht="27.75" hidden="false" customHeight="true" outlineLevel="0" collapsed="false">
      <c r="A21" s="18" t="s">
        <v>93</v>
      </c>
      <c r="B21" s="18"/>
      <c r="C21" s="18"/>
      <c r="D21" s="18"/>
      <c r="E21" s="18"/>
    </row>
  </sheetData>
  <mergeCells count="4">
    <mergeCell ref="A1:E1"/>
    <mergeCell ref="A2:E2"/>
    <mergeCell ref="A15:E15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2026-07-12T17:11:09Z</dcterms:created>
  <dc:creator>openpyxl</dc:creator>
  <dc:description/>
  <dc:language>en-US</dc:language>
  <cp:lastModifiedBy/>
  <dcterms:modified xsi:type="dcterms:W3CDTF">2026-07-12T17:11:41Z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